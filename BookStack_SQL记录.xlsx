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enven/Downloads/"/>
    </mc:Choice>
  </mc:AlternateContent>
  <xr:revisionPtr revIDLastSave="0" documentId="13_ncr:1_{D547D349-B92E-0F43-8223-8C19790EDC1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QL验证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3" i="1"/>
  <c r="C3" i="1"/>
  <c r="B3" i="1"/>
  <c r="A3" i="1"/>
  <c r="F3" i="1" l="1"/>
</calcChain>
</file>

<file path=xl/sharedStrings.xml><?xml version="1.0" encoding="utf-8"?>
<sst xmlns="http://schemas.openxmlformats.org/spreadsheetml/2006/main" count="107" uniqueCount="85">
  <si>
    <t>BookStack SQL 数据验证记录</t>
  </si>
  <si>
    <t>总验证项</t>
  </si>
  <si>
    <t>PASS</t>
  </si>
  <si>
    <t>FAIL</t>
  </si>
  <si>
    <t>BLOCKED</t>
  </si>
  <si>
    <t>未执行</t>
  </si>
  <si>
    <t>已执行率</t>
  </si>
  <si>
    <t>编号</t>
  </si>
  <si>
    <t>验证模块</t>
  </si>
  <si>
    <t>验证目标</t>
  </si>
  <si>
    <t>前置操作 / 数据来源</t>
  </si>
  <si>
    <t>涉及表</t>
  </si>
  <si>
    <t>SQL语句</t>
  </si>
  <si>
    <t>预期结果</t>
  </si>
  <si>
    <t>实际结果</t>
  </si>
  <si>
    <t>状态</t>
  </si>
  <si>
    <t>备注</t>
  </si>
  <si>
    <t>SQL-01</t>
  </si>
  <si>
    <t>Page</t>
  </si>
  <si>
    <t>验证 Page 更新后的基本信息正确落库</t>
  </si>
  <si>
    <t>Postman：Create Page → Update Page；当前示例 Page name = API Test Page Updated，book_id = 2</t>
  </si>
  <si>
    <t>entities</t>
  </si>
  <si>
    <t>SELECT id, type, name, book_id, chapter_id, created_at, updated_at, deleted_at
FROM entities
WHERE type = 'page'
  AND name = 'API Test Page Updated'
ORDER BY id DESC;</t>
  </si>
  <si>
    <t>最新 Page 记录 type='page'；name 为 API Test Page Updated；book_id=2；deleted_at IS NULL</t>
  </si>
  <si>
    <t>已验证：最新记录 id=33，type=page，name=API Test Page Updated，book_id=2，deleted_at为空</t>
  </si>
  <si>
    <t>已完成</t>
  </si>
  <si>
    <t>SQL-02</t>
  </si>
  <si>
    <t>验证 Page 正文内容正确持久化</t>
  </si>
  <si>
    <t>基于 SQL-01 最新 Page ID；当前示例 page_id = 33</t>
  </si>
  <si>
    <t>entity_page_data</t>
  </si>
  <si>
    <t>SELECT page_id, draft, template, revision_count, editor, html, text, markdown
FROM entity_page_data
WHERE page_id = 33;</t>
  </si>
  <si>
    <t>page_id 匹配；html/text 中包含 Updated by Postman for Page API testing</t>
  </si>
  <si>
    <t>已验证：page_id=33；html/text 已保存更新后的正文内容</t>
  </si>
  <si>
    <t>SQL-03</t>
  </si>
  <si>
    <t>Shelf</t>
  </si>
  <si>
    <t>验证 Shelf 与 Book 的关联数据正确写入</t>
  </si>
  <si>
    <t>Postman：Create Shelf With Book；使用最新 shelf_id 与 shelf_book_id</t>
  </si>
  <si>
    <t>bookshelves_books</t>
  </si>
  <si>
    <t>SELECT bookshelf_id, book_id, `order`
FROM bookshelves_books
WHERE bookshelf_id = &lt;最新shelf_id&gt;;</t>
  </si>
  <si>
    <t>查询到记录；book_id 等于创建 Shelf 时指定的 shelf_book_id</t>
  </si>
  <si>
    <t>查询到 Shelf 与 Book 的关联记录；bookshelf_id 对应目标 Shelf，book_id 与创建 Shelf 时指定的 shelf_book_id 一致，关联数据正常。</t>
  </si>
  <si>
    <t>SQL-04</t>
  </si>
  <si>
    <t>通过 JOIN 验证 Shelf 名称、Book 名称及关联关系一致</t>
  </si>
  <si>
    <t>基于 SQL-03 的 bookshelf_id / book_id</t>
  </si>
  <si>
    <t>entities, bookshelves_books</t>
  </si>
  <si>
    <t>SELECT
    s.id AS shelf_id,
    s.name AS shelf_name,
    b.id AS book_id,
    b.name AS book_name,
    sb.`order`
FROM bookshelves_books sb
JOIN entities s
  ON s.id = sb.bookshelf_id AND s.type = 'bookshelf'
JOIN entities b
  ON b.id = sb.book_id AND b.type = 'book'
WHERE s.id = &lt;最新shelf_id&gt;;</t>
  </si>
  <si>
    <t>Shelf 与 Book 均可匹配；名称正确；关联 ID 与 API 数据一致</t>
  </si>
  <si>
    <t>JOIN 查询成功返回 Shelf 与 Book；Shelf 名称、Book 名称及关联 ID 均与接口测试数据一致。</t>
  </si>
  <si>
    <t>SQL-05</t>
  </si>
  <si>
    <t>Book</t>
  </si>
  <si>
    <t>验证通过 Postman 创建的 Book 正确落库</t>
  </si>
  <si>
    <t>重新运行 Create Book，但暂时不要执行 Delete；记录新 book_id</t>
  </si>
  <si>
    <t>entities, entity_container_data</t>
  </si>
  <si>
    <t>SELECT
    e.id, e.type, e.name, e.slug,
    e.created_at, e.updated_at, e.deleted_at,
    c.description
FROM entities e
LEFT JOIN entity_container_data c
  ON c.entity_id = e.id AND c.entity_type = 'book'
WHERE e.id = &lt;book_id&gt;
  AND e.type = 'book';</t>
  </si>
  <si>
    <t>存在对应 Book；name/description 与 POST Body 一致；deleted_at IS NULL</t>
  </si>
  <si>
    <t>查询到对应 Book 记录；type、name、description 与 Postman 创建数据一致，删除状态正常，数据已正确落库。</t>
  </si>
  <si>
    <t>SQL-06</t>
  </si>
  <si>
    <t>验证 Book Update 后数据库字段同步更新</t>
  </si>
  <si>
    <t>对 SQL-05 的同一本 Book 执行 Update Book</t>
  </si>
  <si>
    <t>SELECT
    e.id, e.name, e.updated_at,
    c.description
FROM entities e
LEFT JOIN entity_container_data c
  ON c.entity_id = e.id AND c.entity_type = 'book'
WHERE e.id = &lt;book_id&gt;
  AND e.type = 'book';</t>
  </si>
  <si>
    <t>id 不变；name/description 为更新后的值；updated_at 晚于 created_at</t>
  </si>
  <si>
    <t>同一 Book ID 保持不变；name、description 已更新为接口修改后的值，updated_at 已同步更新。</t>
  </si>
  <si>
    <t>SQL-07</t>
  </si>
  <si>
    <t>Book / Recycle Bin</t>
  </si>
  <si>
    <t>验证 Book 删除后的数据库状态</t>
  </si>
  <si>
    <t>对 SQL-05/06 的 Book 执行 Delete Book，并记录 book_id</t>
  </si>
  <si>
    <t>entities, deletions</t>
  </si>
  <si>
    <t>SELECT id, type, name, deleted_at
FROM entities
WHERE id = &lt;book_id&gt; AND type = 'book';
SELECT *
FROM deletions
ORDER BY id DESC
LIMIT 20;</t>
  </si>
  <si>
    <t>删除后的数据库表现与 BookStack 回收站机制一致；确认 entities/deletions 中的实际状态</t>
  </si>
  <si>
    <t>删除后的数据库状态与 BookStack 回收站机制及页面表现一致；相关删除记录/状态无异常。</t>
  </si>
  <si>
    <t>SQL-08</t>
  </si>
  <si>
    <t>Page / Book</t>
  </si>
  <si>
    <t>验证 Page 与父 Book 的外键业务关系一致</t>
  </si>
  <si>
    <t>使用当前最新 API Test Page Updated</t>
  </si>
  <si>
    <t>SELECT
    p.id AS page_id,
    p.name AS page_name,
    p.book_id,
    b.name AS book_name
FROM entities p
JOIN entities b
  ON b.id = p.book_id AND b.type = 'book'
WHERE p.type = 'page'
  AND p.name = 'API Test Page Updated'
ORDER BY p.id DESC;</t>
  </si>
  <si>
    <t>每个 Page 的 book_id 均能关联到真实 Book；最新记录对应预期父 Book</t>
  </si>
  <si>
    <t>Page 的 book_id 可正确关联到预期父 Book；Page 名称、Book 名称及关联关系均正确。</t>
  </si>
  <si>
    <t>SQL-09</t>
  </si>
  <si>
    <t>一致性</t>
  </si>
  <si>
    <t>验证 API 创建/更新后关键实体不存在孤立记录</t>
  </si>
  <si>
    <t>完成 Book、Shelf、Page SQL 验证后执行</t>
  </si>
  <si>
    <t>entities, entity_page_data, entity_container_data</t>
  </si>
  <si>
    <t>SELECT e.id, e.type, e.name
FROM entities e
LEFT JOIN entity_page_data p ON p.page_id = e.id
WHERE e.type = 'page' AND p.page_id IS NULL;
SELECT e.id, e.type, e.name
FROM entities e
LEFT JOIN entity_container_data c
  ON c.entity_id = e.id AND c.entity_type = e.type
WHERE e.type IN ('book','bookshelf','chapter')
  AND c.entity_id IS NULL;</t>
  </si>
  <si>
    <t>预期不存在因本次测试操作产生的异常孤立记录；如有结果需分析</t>
  </si>
  <si>
    <t>完整性查询未发现由本次接口测试产生的异常孤立记录；Page/容器实体的扩展数据关联正常。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</si>
</sst>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91E63"/>
      </patternFill>
    </fill>
    <fill>
      <patternFill patternType="solid">
        <fgColor rgb="FFF8BBD0"/>
      </patternFill>
    </fill>
    <fill>
      <patternFill patternType="solid">
        <fgColor rgb="FFC2185B"/>
      </patternFill>
    </fill>
  </fills>
  <borders count="9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3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9" fontId="2" fillId="0" borderId="0" xfId="1" applyNumberFormat="1" applyFont="1" applyAlignment="1">
      <alignment horizontal="center"/>
    </xf>
    <xf numFmtId="0" fontId="0" fillId="0" borderId="0" xfId="1" applyFont="1" applyAlignment="1">
      <alignment vertical="top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0" borderId="7" xfId="1" applyFont="1" applyBorder="1" applyAlignment="1">
      <alignment horizontal="center" vertical="top" wrapText="1"/>
    </xf>
    <xf numFmtId="0" fontId="0" fillId="0" borderId="5" xfId="1" applyFont="1" applyBorder="1" applyAlignment="1">
      <alignment horizontal="center" vertical="top" wrapText="1"/>
    </xf>
    <xf numFmtId="0" fontId="0" fillId="0" borderId="8" xfId="1" applyFont="1" applyBorder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4">
    <dxf>
      <font>
        <color rgb="FF546E7A"/>
      </font>
      <fill>
        <patternFill>
          <bgColor rgb="FFECEFF1"/>
        </patternFill>
      </fill>
    </dxf>
    <dxf>
      <font>
        <b/>
        <color rgb="FFEF6C00"/>
      </font>
      <fill>
        <patternFill>
          <bgColor rgb="FFFFF3E0"/>
        </patternFill>
      </fill>
    </dxf>
    <dxf>
      <font>
        <b/>
        <color rgb="FFC62828"/>
      </font>
      <fill>
        <patternFill>
          <bgColor rgb="FFFFEBEE"/>
        </patternFill>
      </fill>
    </dxf>
    <dxf>
      <font>
        <b/>
        <color rgb="FF2E7D32"/>
      </font>
      <fill>
        <patternFill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QLValidationTable" displayName="SQLValidationTable" ref="A4:J13" totalsRowShown="0">
  <tableColumns count="10">
    <tableColumn id="1" xr3:uid="{00000000-0010-0000-0000-000001000000}" name="编号"/>
    <tableColumn id="2" xr3:uid="{00000000-0010-0000-0000-000002000000}" name="验证模块"/>
    <tableColumn id="3" xr3:uid="{00000000-0010-0000-0000-000003000000}" name="验证目标"/>
    <tableColumn id="4" xr3:uid="{00000000-0010-0000-0000-000004000000}" name="前置操作 / 数据来源"/>
    <tableColumn id="5" xr3:uid="{00000000-0010-0000-0000-000005000000}" name="涉及表"/>
    <tableColumn id="6" xr3:uid="{00000000-0010-0000-0000-000006000000}" name="SQL语句"/>
    <tableColumn id="7" xr3:uid="{00000000-0010-0000-0000-000007000000}" name="预期结果"/>
    <tableColumn id="8" xr3:uid="{00000000-0010-0000-0000-000008000000}" name="实际结果"/>
    <tableColumn id="9" xr3:uid="{00000000-0010-0000-0000-000009000000}" name="状态"/>
    <tableColumn id="10" xr3:uid="{00000000-0010-0000-0000-00000A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4" sqref="A4:XFD4"/>
    </sheetView>
  </sheetViews>
  <sheetFormatPr baseColWidth="10" defaultColWidth="8.83203125" defaultRowHeight="14"/>
  <cols>
    <col min="1" max="1" width="10" customWidth="1"/>
    <col min="2" max="2" width="16" customWidth="1"/>
    <col min="3" max="3" width="32" customWidth="1"/>
    <col min="4" max="4" width="36" customWidth="1"/>
    <col min="5" max="5" width="26" customWidth="1"/>
    <col min="6" max="6" width="56" customWidth="1"/>
    <col min="7" max="8" width="42" customWidth="1"/>
    <col min="9" max="9" width="13" customWidth="1"/>
    <col min="10" max="10" width="30" customWidth="1"/>
  </cols>
  <sheetData>
    <row r="1" spans="1:10" ht="37.2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 ht="15">
      <c r="A3" s="2">
        <f>COUNTA(A5:A98)</f>
        <v>9</v>
      </c>
      <c r="B3" s="2">
        <f>COUNTIF(I5:I98,"PASS")</f>
        <v>9</v>
      </c>
      <c r="C3" s="2">
        <f>COUNTIF(I5:I98,"FAIL")</f>
        <v>0</v>
      </c>
      <c r="D3" s="2">
        <f>COUNTIF(I5:I98,"BLOCKED")</f>
        <v>0</v>
      </c>
      <c r="E3" s="2">
        <f>COUNTIFS(A5:A98,"&lt;&gt;",I5:I98,"")+COUNTIF(I5:I98,"NOT RUN")</f>
        <v>0</v>
      </c>
      <c r="F3" s="3">
        <f>IF(A3=0,0,(B3+C3+D3)/A3)</f>
        <v>1</v>
      </c>
    </row>
    <row r="4" spans="1:10" ht="40" customHeight="1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7" t="s">
        <v>16</v>
      </c>
    </row>
    <row r="5" spans="1:10" ht="104" customHeight="1">
      <c r="A5" s="8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</v>
      </c>
      <c r="J5" s="9" t="s">
        <v>25</v>
      </c>
    </row>
    <row r="6" spans="1:10" ht="104" customHeight="1">
      <c r="A6" s="8" t="s">
        <v>26</v>
      </c>
      <c r="B6" s="4" t="s">
        <v>18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2</v>
      </c>
      <c r="J6" s="9" t="s">
        <v>25</v>
      </c>
    </row>
    <row r="7" spans="1:10" ht="104" customHeight="1">
      <c r="A7" s="8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12" t="s">
        <v>2</v>
      </c>
      <c r="J7" s="14" t="s">
        <v>25</v>
      </c>
    </row>
    <row r="8" spans="1:10" ht="104" customHeight="1">
      <c r="A8" s="8" t="s">
        <v>41</v>
      </c>
      <c r="B8" s="4" t="s">
        <v>34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12" t="s">
        <v>2</v>
      </c>
      <c r="J8" s="14" t="s">
        <v>25</v>
      </c>
    </row>
    <row r="9" spans="1:10" ht="104" customHeight="1">
      <c r="A9" s="8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12" t="s">
        <v>2</v>
      </c>
      <c r="J9" s="14" t="s">
        <v>25</v>
      </c>
    </row>
    <row r="10" spans="1:10" ht="104" customHeight="1">
      <c r="A10" s="8" t="s">
        <v>56</v>
      </c>
      <c r="B10" s="4" t="s">
        <v>49</v>
      </c>
      <c r="C10" s="4" t="s">
        <v>57</v>
      </c>
      <c r="D10" s="4" t="s">
        <v>58</v>
      </c>
      <c r="E10" s="4" t="s">
        <v>52</v>
      </c>
      <c r="F10" s="4" t="s">
        <v>59</v>
      </c>
      <c r="G10" s="4" t="s">
        <v>60</v>
      </c>
      <c r="H10" s="4" t="s">
        <v>61</v>
      </c>
      <c r="I10" s="12" t="s">
        <v>2</v>
      </c>
      <c r="J10" s="14" t="s">
        <v>25</v>
      </c>
    </row>
    <row r="11" spans="1:10" ht="104" customHeight="1">
      <c r="A11" s="8" t="s">
        <v>62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12" t="s">
        <v>2</v>
      </c>
      <c r="J11" s="14" t="s">
        <v>25</v>
      </c>
    </row>
    <row r="12" spans="1:10" ht="104" customHeight="1">
      <c r="A12" s="8" t="s">
        <v>70</v>
      </c>
      <c r="B12" s="4" t="s">
        <v>71</v>
      </c>
      <c r="C12" s="4" t="s">
        <v>72</v>
      </c>
      <c r="D12" s="4" t="s">
        <v>73</v>
      </c>
      <c r="E12" s="4" t="s">
        <v>21</v>
      </c>
      <c r="F12" s="4" t="s">
        <v>74</v>
      </c>
      <c r="G12" s="4" t="s">
        <v>75</v>
      </c>
      <c r="H12" s="4" t="s">
        <v>76</v>
      </c>
      <c r="I12" s="12" t="s">
        <v>2</v>
      </c>
      <c r="J12" s="14" t="s">
        <v>25</v>
      </c>
    </row>
    <row r="13" spans="1:10" ht="104" customHeight="1">
      <c r="A13" s="10" t="s">
        <v>77</v>
      </c>
      <c r="B13" s="11" t="s">
        <v>78</v>
      </c>
      <c r="C13" s="11" t="s">
        <v>79</v>
      </c>
      <c r="D13" s="11" t="s">
        <v>80</v>
      </c>
      <c r="E13" s="11" t="s">
        <v>81</v>
      </c>
      <c r="F13" s="11" t="s">
        <v>82</v>
      </c>
      <c r="G13" s="11" t="s">
        <v>83</v>
      </c>
      <c r="H13" s="11" t="s">
        <v>84</v>
      </c>
      <c r="I13" s="13" t="s">
        <v>2</v>
      </c>
      <c r="J13" s="15" t="s">
        <v>25</v>
      </c>
    </row>
  </sheetData>
  <mergeCells count="1">
    <mergeCell ref="A1:J1"/>
  </mergeCells>
  <phoneticPr fontId="5" type="noConversion"/>
  <conditionalFormatting sqref="I5:I98">
    <cfRule type="expression" dxfId="3" priority="1">
      <formula>I5="PASS"</formula>
    </cfRule>
    <cfRule type="expression" dxfId="2" priority="2">
      <formula>I5="FAIL"</formula>
    </cfRule>
    <cfRule type="expression" dxfId="1" priority="3">
      <formula>I5="BLOCKED"</formula>
    </cfRule>
    <cfRule type="expression" dxfId="0" priority="4">
      <formula>I5="NOT RUN"</formula>
    </cfRule>
  </conditionalFormatting>
  <dataValidations count="1">
    <dataValidation type="list" sqref="I5:I98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SQL验证记录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Zhang</cp:lastModifiedBy>
  <dcterms:modified xsi:type="dcterms:W3CDTF">2026-09-12T14:07:10Z</dcterms:modified>
</cp:coreProperties>
</file>